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25\"/>
    </mc:Choice>
  </mc:AlternateContent>
  <xr:revisionPtr revIDLastSave="0" documentId="13_ncr:1_{5ED9F7B3-BAAB-4464-8B1E-0C0A8B2210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G30" i="1"/>
  <c r="E30" i="1"/>
  <c r="J29" i="1"/>
  <c r="K29" i="1" s="1"/>
  <c r="H29" i="1"/>
  <c r="I29" i="1" s="1"/>
  <c r="G29" i="1"/>
  <c r="E29" i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E15" i="1"/>
  <c r="E16" i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G16" i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<sst xmlns="http://schemas.openxmlformats.org/spreadsheetml/2006/main" count="177" uniqueCount="68">
  <si>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</si>
  <si>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</si>
  <si>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</si>
  <si>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</si>
  <si>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</si>
  <si>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</si>
  <si>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</si>
  <si>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</si>
  <si>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</si>
  <si>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</si>
  <si>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</si>
  <si>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</si>
  <si>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</si>
  <si>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</si>
  <si>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</si>
  <si>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</si>
  <si>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</si>
  <si>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</si>
  <si>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</si>
  <si>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</si>
  <si>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</si>
  <si>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</si>
  <si>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</si>
  <si>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</si>
  <si>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</si>
  <si>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</si>
  <si>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</si>
  <si>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</si>
  <si>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</si>
  <si>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</si>
  <si>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</si>
  <si>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</si>
  <si>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</si>
  <si>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</si>
  <si>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</si>
  <si>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</si>
  <si>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</si>
  <si>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</si>
  <si>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</si>
  <si>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</si>
  <si>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</si>
  <si>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</si>
  <si>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</si>
  <si>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</si>
  <si>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</si>
  <si>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</si>
  <si>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</si>
  <si>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</si>
  <si>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</si>
  <si>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</si>
  <si>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</si>
  <si>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</si>
  <si>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</si>
  <si>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</si>
  <si>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</si>
  <si>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</si>
  <si>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</si>
  <si>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</si>
  <si>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</si>
  <si>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</si>
  <si>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</si>
  <si>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</si>
  <si>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</si>
  <si>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AYBAR VIDAL FABIO ANDRES</t>
  </si>
  <si>
    <t>CRUZ IZQUIERDO JOSE LUIS</t>
  </si>
  <si>
    <t>CUCOCH-PETRAELLO BAHAMONDES DIEGO ALEJANDRO</t>
  </si>
  <si>
    <t xml:space="preserve">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</si>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</sst>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4" sqref="D4:D6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6.3</v>
      </c>
      <c r="D4" s="36">
        <f>C4</f>
        <v>6.3</v>
      </c>
      <c r="E4" s="35">
        <f>C4*C$2+D4*D$2</f>
        <v>6.2999999999999989</v>
      </c>
    </row>
    <row r="5" spans="1:11" x14ac:dyDescent="0.25">
      <c r="A5" s="3">
        <v>2</v>
      </c>
      <c r="B5" s="38" t="s">
        <v>64</v>
      </c>
      <c r="C5" s="30">
        <f>C34</f>
        <v>6.1</v>
      </c>
      <c r="D5" s="36">
        <f t="shared" ref="D5:D6" si="0">C5</f>
        <v>6.1</v>
      </c>
      <c r="E5" s="35">
        <f t="shared" ref="E5:E6" si="1">C5*C$2+D5*D$2</f>
        <v>6.1</v>
      </c>
    </row>
    <row r="6" spans="1:11" x14ac:dyDescent="0.25">
      <c r="A6" s="3">
        <v>3</v>
      </c>
      <c r="B6" s="38" t="s">
        <v>65</v>
      </c>
      <c r="C6" s="30">
        <f>C47</f>
        <v>6.4</v>
      </c>
      <c r="D6" s="36">
        <f t="shared" si="0"/>
        <v>6.4</v>
      </c>
      <c r="E6" s="35">
        <f t="shared" si="1"/>
        <v>6.3999999999999995</v>
      </c>
      <c r="F6" t="s">
        <v>66</v>
      </c>
    </row>
    <row r="11" spans="1:11" ht="18.75" outlineLevel="1" x14ac:dyDescent="0.25">
      <c r="A11" s="39" t="s">
        <v>4</v>
      </c>
      <c r="B11" s="11" t="str">
        <f>B4</f>
        <v>AYBAR VIDAL FABIO ANDRES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2">IF($C13=CL,"X","")</f>
        <v>X</v>
      </c>
      <c r="E13" s="12">
        <f>IF(D13="X",100*0.15,"")</f>
        <v>15</v>
      </c>
      <c r="F13" s="12" t="str">
        <f t="shared" ref="F13:F17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">
        <v>66</v>
      </c>
      <c r="E15" s="12" t="str">
        <f>IF(D15="X",100*0.2,"")</f>
        <v/>
      </c>
      <c r="F15" s="12" t="s">
        <v>67</v>
      </c>
      <c r="G15" s="12">
        <f>IF(F15="X",60*0.2,"")</f>
        <v>12</v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">
        <v>66</v>
      </c>
      <c r="E16" s="12" t="str">
        <f>IF(D16="X",100*0.05,"")</f>
        <v/>
      </c>
      <c r="F16" s="12" t="s">
        <v>67</v>
      </c>
      <c r="G16" s="12">
        <f>IF(F16="X",60*0.05,"")</f>
        <v>3</v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2"/>
        <v>X</v>
      </c>
      <c r="E17" s="12">
        <f>IF(D17="X",100*0.05,"")</f>
        <v>5</v>
      </c>
      <c r="F17" s="12" t="str">
        <f t="shared" si="3"/>
        <v/>
      </c>
      <c r="G17" s="12" t="str">
        <f>IF(F17="X",60*0.05,"")</f>
        <v/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90</v>
      </c>
      <c r="D20" s="13"/>
      <c r="E20" s="13">
        <f>SUM(E13:E19)</f>
        <v>75</v>
      </c>
      <c r="F20" s="13"/>
      <c r="G20" s="13">
        <f>SUM(G13:G19)</f>
        <v>15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6.3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CRUZ IZQUIERDO JOSE LUIS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">
        <v>66</v>
      </c>
      <c r="E28" s="12" t="str">
        <f>IF(D28="X",100*0.2,"")</f>
        <v/>
      </c>
      <c r="F28" s="12" t="s">
        <v>67</v>
      </c>
      <c r="G28" s="12">
        <f>IF(F28="X",60*0.2,"")</f>
        <v>12</v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">
        <v>66</v>
      </c>
      <c r="E29" s="12" t="str">
        <f>IF(D29="X",100*0.05,"")</f>
        <v/>
      </c>
      <c r="F29" s="12" t="s">
        <v>67</v>
      </c>
      <c r="G29" s="12">
        <f>IF(F29="X",60*0.05,"")</f>
        <v>3</v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">
        <v>66</v>
      </c>
      <c r="E30" s="12" t="str">
        <f>IF(D30="X",100*0.05,"")</f>
        <v/>
      </c>
      <c r="F30" s="12" t="s">
        <v>67</v>
      </c>
      <c r="G30" s="12">
        <f>IF(F30="X",60*0.05,"")</f>
        <v>3</v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0"/>
      <c r="B33" s="17" t="s">
        <v>12</v>
      </c>
      <c r="C33" s="21">
        <f>E33+G33+I33+K33</f>
        <v>88</v>
      </c>
      <c r="D33" s="13"/>
      <c r="E33" s="13">
        <f>SUM(E26:E32)</f>
        <v>70</v>
      </c>
      <c r="F33" s="13"/>
      <c r="G33" s="13">
        <f>SUM(G26:G32)</f>
        <v>18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6.1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CUCOCH-PETRAELLO BAHAMONDES DIEGO ALEJANDRO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3">IF($C39=CL,"X","")</f>
        <v>X</v>
      </c>
      <c r="E39" s="12">
        <f>IF(D39="X",100*0.15,"")</f>
        <v>15</v>
      </c>
      <c r="F39" s="12" t="str">
        <f t="shared" ref="F39:F43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">
        <v>66</v>
      </c>
      <c r="E41" s="12" t="str">
        <f>IF(D41="X",100*0.2,"")</f>
        <v/>
      </c>
      <c r="F41" s="12" t="s">
        <v>67</v>
      </c>
      <c r="G41" s="12">
        <f>IF(F41="X",60*0.2,"")</f>
        <v>12</v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3"/>
        <v>X</v>
      </c>
      <c r="E43" s="12">
        <f>IF(D43="X",100*0.05,"")</f>
        <v>5</v>
      </c>
      <c r="F43" s="12" t="str">
        <f t="shared" si="14"/>
        <v/>
      </c>
      <c r="G43" s="12" t="str">
        <f>IF(F43="X",60*0.05,"")</f>
        <v/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0"/>
      <c r="B46" s="17" t="s">
        <v>12</v>
      </c>
      <c r="C46" s="21">
        <f>E46+G46+I46+K46</f>
        <v>92</v>
      </c>
      <c r="D46" s="13"/>
      <c r="E46" s="13">
        <f>SUM(E39:E45)</f>
        <v>80</v>
      </c>
      <c r="F46" s="13"/>
      <c r="G46" s="13">
        <f>SUM(G39:G45)</f>
        <v>12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6.4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AYBAR VIDAL FABIO ANDRES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8">IF($C52=CL,"X","")</f>
        <v>X</v>
      </c>
      <c r="E52" s="12">
        <f>IF(D52="X",100*0.15,"")</f>
        <v>15</v>
      </c>
      <c r="F52" s="12" t="str">
        <f t="shared" ref="F52:F56" si="19">IF($C52=L,"X","")</f>
        <v/>
      </c>
      <c r="G52" s="12" t="str">
        <f>IF(F52="X",60*0.15,"")</f>
        <v/>
      </c>
      <c r="H52" s="12" t="str">
        <f t="shared" ref="H52:H56" si="20">IF($C52=ML,"X","")</f>
        <v/>
      </c>
      <c r="I52" s="12" t="str">
        <f>IF(H52="X",30*0.15,"")</f>
        <v/>
      </c>
      <c r="J52" s="12" t="str">
        <f t="shared" ref="J52:J56" si="21">IF($C52=NL,"X","")</f>
        <v/>
      </c>
      <c r="K52" s="12" t="str">
        <f t="shared" ref="K52:K58" si="22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8"/>
        <v>X</v>
      </c>
      <c r="E53" s="12">
        <f>IF(D53="X",100*0.25,"")</f>
        <v>25</v>
      </c>
      <c r="F53" s="12" t="str">
        <f t="shared" si="19"/>
        <v/>
      </c>
      <c r="G53" s="12" t="str">
        <f>IF(F53="X",60*0.25,"")</f>
        <v/>
      </c>
      <c r="H53" s="12" t="str">
        <f t="shared" si="20"/>
        <v/>
      </c>
      <c r="I53" s="12" t="str">
        <f>IF(H53="X",30*0.25,"")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8"/>
        <v>X</v>
      </c>
      <c r="E54" s="12">
        <f>IF(D54="X",100*0.2,"")</f>
        <v>20</v>
      </c>
      <c r="F54" s="12" t="str">
        <f t="shared" si="19"/>
        <v/>
      </c>
      <c r="G54" s="12" t="str">
        <f>IF(F54="X",60*0.2,"")</f>
        <v/>
      </c>
      <c r="H54" s="12" t="str">
        <f t="shared" si="20"/>
        <v/>
      </c>
      <c r="I54" s="12" t="str">
        <f>IF(H54="X",30*0.2,"")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8"/>
        <v>X</v>
      </c>
      <c r="E56" s="12">
        <f>IF(D56="X",100*0.05,"")</f>
        <v>5</v>
      </c>
      <c r="F56" s="12" t="str">
        <f t="shared" si="19"/>
        <v/>
      </c>
      <c r="G56" s="12" t="str">
        <f>IF(F56="X",60*0.05,"")</f>
        <v/>
      </c>
      <c r="H56" s="12" t="str">
        <f t="shared" si="20"/>
        <v/>
      </c>
      <c r="I56" s="12" t="str">
        <f>IF(H56="X",30*0.05,"")</f>
        <v/>
      </c>
      <c r="J56" s="12" t="str">
        <f t="shared" si="21"/>
        <v/>
      </c>
      <c r="K56" s="12" t="str">
        <f t="shared" si="22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2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CRUZ IZQUIERDO JOSE LUIS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3">IF($C65=CL,"X","")</f>
        <v>X</v>
      </c>
      <c r="E65" s="12">
        <f>IF(D65="X",100*0.15,"")</f>
        <v>15</v>
      </c>
      <c r="F65" s="12" t="str">
        <f t="shared" ref="F65:F69" si="24">IF($C65=L,"X","")</f>
        <v/>
      </c>
      <c r="G65" s="12" t="str">
        <f>IF(F65="X",60*0.15,"")</f>
        <v/>
      </c>
      <c r="H65" s="12" t="str">
        <f t="shared" ref="H65:H69" si="25">IF($C65=ML,"X","")</f>
        <v/>
      </c>
      <c r="I65" s="12" t="str">
        <f>IF(H65="X",30*0.15,"")</f>
        <v/>
      </c>
      <c r="J65" s="12" t="str">
        <f t="shared" ref="J65:J69" si="26">IF($C65=NL,"X","")</f>
        <v/>
      </c>
      <c r="K65" s="12" t="str">
        <f t="shared" ref="K65:K71" si="27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3"/>
        <v>X</v>
      </c>
      <c r="E66" s="12">
        <f>IF(D66="X",100*0.25,"")</f>
        <v>25</v>
      </c>
      <c r="F66" s="12" t="str">
        <f t="shared" si="24"/>
        <v/>
      </c>
      <c r="G66" s="12" t="str">
        <f>IF(F66="X",60*0.25,"")</f>
        <v/>
      </c>
      <c r="H66" s="12" t="str">
        <f t="shared" si="25"/>
        <v/>
      </c>
      <c r="I66" s="12" t="str">
        <f>IF(H66="X",30*0.25,"")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3"/>
        <v>X</v>
      </c>
      <c r="E67" s="12">
        <f>IF(D67="X",100*0.2,"")</f>
        <v>20</v>
      </c>
      <c r="F67" s="12" t="str">
        <f t="shared" si="24"/>
        <v/>
      </c>
      <c r="G67" s="12" t="str">
        <f>IF(F67="X",60*0.2,"")</f>
        <v/>
      </c>
      <c r="H67" s="12" t="str">
        <f t="shared" si="25"/>
        <v/>
      </c>
      <c r="I67" s="12" t="str">
        <f>IF(H67="X",30*0.2,"")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3"/>
        <v>X</v>
      </c>
      <c r="E68" s="12">
        <f>IF(D68="X",100*0.05,"")</f>
        <v>5</v>
      </c>
      <c r="F68" s="12" t="str">
        <f t="shared" si="24"/>
        <v/>
      </c>
      <c r="G68" s="12" t="str">
        <f>IF(F68="X",60*0.05,"")</f>
        <v/>
      </c>
      <c r="H68" s="12" t="str">
        <f t="shared" si="25"/>
        <v/>
      </c>
      <c r="I68" s="12" t="str">
        <f>IF(H68="X",30*0.05,"")</f>
        <v/>
      </c>
      <c r="J68" s="12" t="str">
        <f t="shared" si="26"/>
        <v/>
      </c>
      <c r="K68" s="12" t="str">
        <f t="shared" si="27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3"/>
        <v>X</v>
      </c>
      <c r="E69" s="12">
        <f>IF(D69="X",100*0.05,"")</f>
        <v>5</v>
      </c>
      <c r="F69" s="12" t="str">
        <f t="shared" si="24"/>
        <v/>
      </c>
      <c r="G69" s="12" t="str">
        <f>IF(F69="X",60*0.05,"")</f>
        <v/>
      </c>
      <c r="H69" s="12" t="str">
        <f t="shared" si="25"/>
        <v/>
      </c>
      <c r="I69" s="12" t="str">
        <f>IF(H69="X",30*0.05,"")</f>
        <v/>
      </c>
      <c r="J69" s="12" t="str">
        <f t="shared" si="26"/>
        <v/>
      </c>
      <c r="K69" s="12" t="str">
        <f t="shared" si="27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7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7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CUCOCH-PETRAELLO BAHAMONDES DIEGO ALEJANDRO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8">IF($C78=CL,"X","")</f>
        <v>X</v>
      </c>
      <c r="E78" s="12">
        <f>IF(D78="X",100*0.15,"")</f>
        <v>15</v>
      </c>
      <c r="F78" s="12" t="str">
        <f t="shared" ref="F78:F82" si="29">IF($C78=L,"X","")</f>
        <v/>
      </c>
      <c r="G78" s="12" t="str">
        <f>IF(F78="X",60*0.15,"")</f>
        <v/>
      </c>
      <c r="H78" s="12" t="str">
        <f t="shared" ref="H78:H82" si="30">IF($C78=ML,"X","")</f>
        <v/>
      </c>
      <c r="I78" s="12" t="str">
        <f>IF(H78="X",30*0.15,"")</f>
        <v/>
      </c>
      <c r="J78" s="12" t="str">
        <f t="shared" ref="J78:J82" si="31">IF($C78=NL,"X","")</f>
        <v/>
      </c>
      <c r="K78" s="12" t="str">
        <f t="shared" ref="K78:K84" si="32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8"/>
        <v>X</v>
      </c>
      <c r="E79" s="12">
        <f>IF(D79="X",100*0.25,"")</f>
        <v>25</v>
      </c>
      <c r="F79" s="12" t="str">
        <f t="shared" si="29"/>
        <v/>
      </c>
      <c r="G79" s="12" t="str">
        <f>IF(F79="X",60*0.25,"")</f>
        <v/>
      </c>
      <c r="H79" s="12" t="str">
        <f t="shared" si="30"/>
        <v/>
      </c>
      <c r="I79" s="12" t="str">
        <f>IF(H79="X",30*0.25,"")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8"/>
        <v>X</v>
      </c>
      <c r="E80" s="12">
        <f>IF(D80="X",100*0.2,"")</f>
        <v>20</v>
      </c>
      <c r="F80" s="12" t="str">
        <f t="shared" si="29"/>
        <v/>
      </c>
      <c r="G80" s="12" t="str">
        <f>IF(F80="X",60*0.2,"")</f>
        <v/>
      </c>
      <c r="H80" s="12" t="str">
        <f t="shared" si="30"/>
        <v/>
      </c>
      <c r="I80" s="12" t="str">
        <f>IF(H80="X",30*0.2,"")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8"/>
        <v>X</v>
      </c>
      <c r="E81" s="12">
        <f>IF(D81="X",100*0.05,"")</f>
        <v>5</v>
      </c>
      <c r="F81" s="12" t="str">
        <f t="shared" si="29"/>
        <v/>
      </c>
      <c r="G81" s="12" t="str">
        <f>IF(F81="X",60*0.05,"")</f>
        <v/>
      </c>
      <c r="H81" s="12" t="str">
        <f t="shared" si="30"/>
        <v/>
      </c>
      <c r="I81" s="12" t="str">
        <f>IF(H81="X",30*0.05,"")</f>
        <v/>
      </c>
      <c r="J81" s="12" t="str">
        <f t="shared" si="31"/>
        <v/>
      </c>
      <c r="K81" s="12" t="str">
        <f t="shared" si="32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8"/>
        <v>X</v>
      </c>
      <c r="E82" s="12">
        <f>IF(D82="X",100*0.05,"")</f>
        <v>5</v>
      </c>
      <c r="F82" s="12" t="str">
        <f t="shared" si="29"/>
        <v/>
      </c>
      <c r="G82" s="12" t="str">
        <f>IF(F82="X",60*0.05,"")</f>
        <v/>
      </c>
      <c r="H82" s="12" t="str">
        <f t="shared" si="30"/>
        <v/>
      </c>
      <c r="I82" s="12" t="str">
        <f>IF(H82="X",30*0.05,"")</f>
        <v/>
      </c>
      <c r="J82" s="12" t="str">
        <f t="shared" si="31"/>
        <v/>
      </c>
      <c r="K82" s="12" t="str">
        <f t="shared" si="32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2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2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2025-12-10T05:22:59Z</dcterms:modified>
  <cp:category/>
  <cp:contentStatus/>
</cp:coreProperties>
</file>